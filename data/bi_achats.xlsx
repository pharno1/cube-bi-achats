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2024-2025\Reporting\Christophe\Projet Achat Bi\"/>
    </mc:Choice>
  </mc:AlternateContent>
  <xr:revisionPtr revIDLastSave="0" documentId="8_{AB62247A-97B7-40F5-AFF6-2CF1A4C8E379}" xr6:coauthVersionLast="47" xr6:coauthVersionMax="47" xr10:uidLastSave="{00000000-0000-0000-0000-000000000000}"/>
  <bookViews>
    <workbookView xWindow="28680" yWindow="-120" windowWidth="29040" windowHeight="15720" xr2:uid="{D0BDFE2C-E55F-47DB-80D6-0C8D912DE859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19" i="1"/>
  <c r="F18" i="1"/>
  <c r="F20" i="1"/>
  <c r="F21" i="1"/>
  <c r="F22" i="1"/>
  <c r="AX13" i="1"/>
  <c r="AS13" i="1"/>
  <c r="AR13" i="1"/>
  <c r="AX12" i="1"/>
  <c r="AS12" i="1"/>
  <c r="AR12" i="1"/>
  <c r="AX11" i="1"/>
  <c r="AS11" i="1"/>
  <c r="AR11" i="1"/>
  <c r="AX10" i="1"/>
  <c r="AS10" i="1"/>
  <c r="AR10" i="1"/>
  <c r="AX9" i="1"/>
  <c r="AS9" i="1"/>
  <c r="AR9" i="1"/>
  <c r="AX8" i="1"/>
  <c r="AS8" i="1"/>
  <c r="AR8" i="1"/>
  <c r="AX7" i="1"/>
  <c r="AS7" i="1"/>
  <c r="AR7" i="1"/>
  <c r="AX6" i="1"/>
  <c r="AS6" i="1"/>
  <c r="AR6" i="1"/>
  <c r="AX5" i="1"/>
  <c r="AS5" i="1"/>
  <c r="AR5" i="1"/>
  <c r="AX4" i="1"/>
  <c r="AS4" i="1"/>
  <c r="AR4" i="1"/>
  <c r="AX3" i="1"/>
  <c r="AS3" i="1"/>
  <c r="AR3" i="1"/>
</calcChain>
</file>

<file path=xl/sharedStrings.xml><?xml version="1.0" encoding="utf-8"?>
<sst xmlns="http://schemas.openxmlformats.org/spreadsheetml/2006/main" count="289" uniqueCount="158">
  <si>
    <t>Year</t>
  </si>
  <si>
    <t>Month</t>
  </si>
  <si>
    <t>Week</t>
  </si>
  <si>
    <t>Day</t>
  </si>
  <si>
    <t>Invoice</t>
  </si>
  <si>
    <t>concaXB</t>
  </si>
  <si>
    <t>EMP code</t>
  </si>
  <si>
    <t>Emova Code</t>
  </si>
  <si>
    <t>Shop</t>
  </si>
  <si>
    <t>Network</t>
  </si>
  <si>
    <t>Customer</t>
  </si>
  <si>
    <t>SO</t>
  </si>
  <si>
    <t>Order type</t>
  </si>
  <si>
    <t>Order Type</t>
  </si>
  <si>
    <t>Category</t>
  </si>
  <si>
    <t>ID Group</t>
  </si>
  <si>
    <t>Group Product</t>
  </si>
  <si>
    <t>Broncode</t>
  </si>
  <si>
    <t>Shortcode</t>
  </si>
  <si>
    <t>Article Description</t>
  </si>
  <si>
    <t>Supplier</t>
  </si>
  <si>
    <t>Grower</t>
  </si>
  <si>
    <t>Standing order</t>
  </si>
  <si>
    <t>FluxAchats</t>
  </si>
  <si>
    <t>Origin</t>
  </si>
  <si>
    <t>Certification</t>
  </si>
  <si>
    <t>Color</t>
  </si>
  <si>
    <t>Length</t>
  </si>
  <si>
    <t>PotSize</t>
  </si>
  <si>
    <t>Cr1</t>
  </si>
  <si>
    <t>Cr2</t>
  </si>
  <si>
    <t>Cr3</t>
  </si>
  <si>
    <t>Net Weight</t>
  </si>
  <si>
    <t>IncomingBox</t>
  </si>
  <si>
    <t>Incoming Packing</t>
  </si>
  <si>
    <t>Outgoing Box</t>
  </si>
  <si>
    <t>Outgoing Packing</t>
  </si>
  <si>
    <t>Minimum Order</t>
  </si>
  <si>
    <t>BuyPrice</t>
  </si>
  <si>
    <t>Selling Price</t>
  </si>
  <si>
    <t>Coefficient</t>
  </si>
  <si>
    <t>Marge</t>
  </si>
  <si>
    <t>Quantity</t>
  </si>
  <si>
    <t>lotId</t>
  </si>
  <si>
    <t>InvoiceKind_</t>
  </si>
  <si>
    <t>lInvTotalProductValue</t>
  </si>
  <si>
    <t>PurchaseValue</t>
  </si>
  <si>
    <t>sOrderLine</t>
  </si>
  <si>
    <t>Reserve</t>
  </si>
  <si>
    <t>Price</t>
  </si>
  <si>
    <t>Diff</t>
  </si>
  <si>
    <t>4CC018</t>
  </si>
  <si>
    <t>CF0018</t>
  </si>
  <si>
    <t>CF Belfort Jean Jaures</t>
  </si>
  <si>
    <t>Coeur - Rapid</t>
  </si>
  <si>
    <t>Franchise</t>
  </si>
  <si>
    <t>Bloemen</t>
  </si>
  <si>
    <t xml:space="preserve">Asparagus                          </t>
  </si>
  <si>
    <t>aspshor45a</t>
  </si>
  <si>
    <t xml:space="preserve">Setaceus Short                </t>
  </si>
  <si>
    <t>MULDEJ</t>
  </si>
  <si>
    <t xml:space="preserve">Jan Mulder               </t>
  </si>
  <si>
    <t>Daily offer</t>
  </si>
  <si>
    <t>Direct Producteur</t>
  </si>
  <si>
    <t>NL</t>
  </si>
  <si>
    <t>8714231207849</t>
  </si>
  <si>
    <t>Green</t>
  </si>
  <si>
    <t>Factuur</t>
  </si>
  <si>
    <t xml:space="preserve">Astilbe                            </t>
  </si>
  <si>
    <t>asterika6</t>
  </si>
  <si>
    <t xml:space="preserve">Erika                         </t>
  </si>
  <si>
    <t xml:space="preserve">WEST  </t>
  </si>
  <si>
    <t xml:space="preserve">Naaldwijk                </t>
  </si>
  <si>
    <t>AERTSH</t>
  </si>
  <si>
    <t xml:space="preserve">van Aert Flowers         </t>
  </si>
  <si>
    <t>Cadran</t>
  </si>
  <si>
    <t>8714231219590</t>
  </si>
  <si>
    <t>Pink</t>
  </si>
  <si>
    <t xml:space="preserve">Monstera                           </t>
  </si>
  <si>
    <t>monsmall</t>
  </si>
  <si>
    <t xml:space="preserve">Small (20)                    </t>
  </si>
  <si>
    <t xml:space="preserve">VBA   </t>
  </si>
  <si>
    <t xml:space="preserve">Aalsmeer                 </t>
  </si>
  <si>
    <t>GHANAQ</t>
  </si>
  <si>
    <t xml:space="preserve">Ghana Quality Greens     </t>
  </si>
  <si>
    <t>8718288072207</t>
  </si>
  <si>
    <t xml:space="preserve">Roses Spray                        </t>
  </si>
  <si>
    <t>rtrmixe40m</t>
  </si>
  <si>
    <t xml:space="preserve">Mixed in bunch                </t>
  </si>
  <si>
    <t>SUNSPR</t>
  </si>
  <si>
    <t xml:space="preserve">Sun Spray                </t>
  </si>
  <si>
    <t>KE</t>
  </si>
  <si>
    <t>8713782599151</t>
  </si>
  <si>
    <t>Mix</t>
  </si>
  <si>
    <t xml:space="preserve">Veronica                           </t>
  </si>
  <si>
    <t>verblue605</t>
  </si>
  <si>
    <t xml:space="preserve">Clea Diana Blue               </t>
  </si>
  <si>
    <t>FLOCOL</t>
  </si>
  <si>
    <t xml:space="preserve">Colour crops/florius     </t>
  </si>
  <si>
    <t>8713782528175</t>
  </si>
  <si>
    <t>Blue</t>
  </si>
  <si>
    <t xml:space="preserve">Ge mi Water                        </t>
  </si>
  <si>
    <t>gemiwmxcws</t>
  </si>
  <si>
    <t xml:space="preserve">Mix Warm/Cold So              </t>
  </si>
  <si>
    <t>NATURE</t>
  </si>
  <si>
    <t xml:space="preserve">Colours of Nature        </t>
  </si>
  <si>
    <t>8713782674131</t>
  </si>
  <si>
    <t xml:space="preserve">Alstroemeria                       </t>
  </si>
  <si>
    <t>alssprmi71</t>
  </si>
  <si>
    <t xml:space="preserve">Mix                           </t>
  </si>
  <si>
    <t>TOG2GR</t>
  </si>
  <si>
    <t xml:space="preserve">Together2Grow            </t>
  </si>
  <si>
    <t>8718288072177</t>
  </si>
  <si>
    <t>gemiworaye</t>
  </si>
  <si>
    <t xml:space="preserve">.Orange/Yellow                </t>
  </si>
  <si>
    <t>ZUIDPL</t>
  </si>
  <si>
    <t xml:space="preserve">Summit Zuidplas          </t>
  </si>
  <si>
    <t>KLONF2</t>
  </si>
  <si>
    <t xml:space="preserve">Summit Klondike Gardens  </t>
  </si>
  <si>
    <t>8713783893586</t>
  </si>
  <si>
    <t>Yellow / Orange</t>
  </si>
  <si>
    <t xml:space="preserve">Hypericum                          </t>
  </si>
  <si>
    <t>hyprprica2</t>
  </si>
  <si>
    <t xml:space="preserve">Magical Princess              </t>
  </si>
  <si>
    <t>RIMI F</t>
  </si>
  <si>
    <t xml:space="preserve">Rimi Flora               </t>
  </si>
  <si>
    <t>8718288009739</t>
  </si>
  <si>
    <t>Salmon</t>
  </si>
  <si>
    <t xml:space="preserve">Rose                               </t>
  </si>
  <si>
    <t>rgrsud7</t>
  </si>
  <si>
    <t xml:space="preserve">Sudoku                        </t>
  </si>
  <si>
    <t xml:space="preserve">FLORA </t>
  </si>
  <si>
    <t xml:space="preserve">Rijnsburg                </t>
  </si>
  <si>
    <t>MOUNT1</t>
  </si>
  <si>
    <t xml:space="preserve">The Elgon collection     </t>
  </si>
  <si>
    <t>8713782576879</t>
  </si>
  <si>
    <t xml:space="preserve">Di st                              </t>
  </si>
  <si>
    <t>distmix20</t>
  </si>
  <si>
    <t xml:space="preserve">Mixed A2                      </t>
  </si>
  <si>
    <t>DIVINE</t>
  </si>
  <si>
    <t xml:space="preserve">Divine Flowers           </t>
  </si>
  <si>
    <t>8718288062956</t>
  </si>
  <si>
    <t>VDV</t>
  </si>
  <si>
    <t>Projets BI-Achats - Estimation Volumétrie Data sur 1an</t>
  </si>
  <si>
    <t>Fournisseurs</t>
  </si>
  <si>
    <t>VdV</t>
  </si>
  <si>
    <t>Marionette Fleurs</t>
  </si>
  <si>
    <t>Celdomy</t>
  </si>
  <si>
    <t>Agora</t>
  </si>
  <si>
    <t>Alma Bouquets</t>
  </si>
  <si>
    <t>Végétal</t>
  </si>
  <si>
    <t>Nombre de champs</t>
  </si>
  <si>
    <t>Nombre de ligne de commande</t>
  </si>
  <si>
    <t>Poids du fournisseur (valeur)</t>
  </si>
  <si>
    <t xml:space="preserve">TOTAL Lignes de commande </t>
  </si>
  <si>
    <t xml:space="preserve">TOTAL Data </t>
  </si>
  <si>
    <t>plus 26 autres fournisseur avec un poid tres faible</t>
  </si>
  <si>
    <t>Nous voulons conserver les donnes 5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</si>
</sst>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2" fillId="3" borderId="2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15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9" fontId="0" fillId="0" borderId="1" xfId="2" applyFont="1" applyBorder="1"/>
    <xf numFmtId="44" fontId="0" fillId="0" borderId="1" xfId="1" applyFont="1" applyBorder="1"/>
    <xf numFmtId="0" fontId="3" fillId="5" borderId="0" xfId="0" applyFont="1" applyFill="1" applyAlignment="1">
      <alignment horizontal="center" vertical="center"/>
    </xf>
    <xf numFmtId="0" fontId="0" fillId="6" borderId="0" xfId="0" applyFill="1"/>
    <xf numFmtId="164" fontId="0" fillId="0" borderId="0" xfId="2" applyNumberFormat="1" applyFont="1"/>
    <xf numFmtId="164" fontId="0" fillId="0" borderId="3" xfId="2" applyNumberFormat="1" applyFont="1" applyBorder="1"/>
    <xf numFmtId="0" fontId="2" fillId="0" borderId="0" xfId="0" applyFont="1"/>
    <xf numFmtId="3" fontId="0" fillId="0" borderId="0" xfId="0" applyNumberFormat="1"/>
    <xf numFmtId="3" fontId="0" fillId="0" borderId="3" xfId="0" applyNumberFormat="1" applyBorder="1"/>
    <xf numFmtId="3" fontId="2" fillId="0" borderId="0" xfId="0" applyNumberFormat="1" applyFont="1"/>
    <xf numFmtId="3" fontId="0" fillId="6" borderId="0" xfId="0" applyNumberFormat="1" applyFill="1"/>
    <xf numFmtId="0" fontId="4" fillId="0" borderId="0" xfId="0" applyFont="1" applyAlignment="1">
      <alignment horizont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575E-5FF0-4E19-ABDF-E19CFCE752BF}">
  <dimension ref="A2:BB28"/>
  <sheetViews>
    <sheetView tabSelected="1" workbookViewId="0">
      <selection activeCell="U10" sqref="U10"/>
    </sheetView>
  </sheetViews>
  <sheetFormatPr baseColWidth="10" defaultRowHeight="14.4" x14ac:dyDescent="0.3"/>
  <cols>
    <col min="1" max="1" width="17.109375" customWidth="1"/>
    <col min="2" max="2" width="17.88671875" bestFit="1" customWidth="1"/>
    <col min="3" max="3" width="28" bestFit="1" customWidth="1"/>
    <col min="4" max="4" width="26.21875" bestFit="1" customWidth="1"/>
    <col min="5" max="5" width="18.88671875" customWidth="1"/>
    <col min="7" max="7" width="15" bestFit="1" customWidth="1"/>
    <col min="10" max="10" width="19.44140625" bestFit="1" customWidth="1"/>
    <col min="11" max="11" width="12.44140625" bestFit="1" customWidth="1"/>
    <col min="18" max="18" width="21.77734375" bestFit="1" customWidth="1"/>
    <col min="20" max="20" width="12.33203125" bestFit="1" customWidth="1"/>
    <col min="21" max="21" width="22.6640625" bestFit="1" customWidth="1"/>
    <col min="23" max="23" width="19.6640625" bestFit="1" customWidth="1"/>
    <col min="25" max="25" width="24.109375" bestFit="1" customWidth="1"/>
    <col min="26" max="26" width="13.77734375" bestFit="1" customWidth="1"/>
    <col min="27" max="27" width="16" bestFit="1" customWidth="1"/>
    <col min="29" max="29" width="14" bestFit="1" customWidth="1"/>
    <col min="30" max="30" width="14.33203125" bestFit="1" customWidth="1"/>
    <col min="37" max="37" width="12.21875" bestFit="1" customWidth="1"/>
    <col min="38" max="38" width="16.21875" bestFit="1" customWidth="1"/>
    <col min="39" max="39" width="12.44140625" bestFit="1" customWidth="1"/>
    <col min="40" max="40" width="16.109375" bestFit="1" customWidth="1"/>
    <col min="41" max="41" width="14.5546875" bestFit="1" customWidth="1"/>
    <col min="48" max="48" width="12.109375" bestFit="1" customWidth="1"/>
    <col min="49" max="49" width="21.77734375" bestFit="1" customWidth="1"/>
    <col min="50" max="50" width="15.21875" bestFit="1" customWidth="1"/>
    <col min="51" max="51" width="10.6640625" bestFit="1" customWidth="1"/>
  </cols>
  <sheetData>
    <row r="2" spans="1:54" x14ac:dyDescent="0.3">
      <c r="A2" s="1" t="s">
        <v>20</v>
      </c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3" t="s">
        <v>5</v>
      </c>
      <c r="H2" s="1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20</v>
      </c>
      <c r="X2" s="2" t="s">
        <v>21</v>
      </c>
      <c r="Y2" s="2" t="s">
        <v>21</v>
      </c>
      <c r="Z2" s="5" t="s">
        <v>22</v>
      </c>
      <c r="AA2" s="5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6" t="s">
        <v>29</v>
      </c>
      <c r="AH2" s="6" t="s">
        <v>30</v>
      </c>
      <c r="AI2" s="6" t="s">
        <v>31</v>
      </c>
      <c r="AJ2" s="6" t="s">
        <v>32</v>
      </c>
      <c r="AK2" s="2" t="s">
        <v>33</v>
      </c>
      <c r="AL2" s="2" t="s">
        <v>34</v>
      </c>
      <c r="AM2" s="6" t="s">
        <v>35</v>
      </c>
      <c r="AN2" s="6" t="s">
        <v>36</v>
      </c>
      <c r="AO2" s="2" t="s">
        <v>37</v>
      </c>
      <c r="AP2" s="2" t="s">
        <v>38</v>
      </c>
      <c r="AQ2" s="2" t="s">
        <v>39</v>
      </c>
      <c r="AR2" s="5" t="s">
        <v>40</v>
      </c>
      <c r="AS2" s="5" t="s">
        <v>41</v>
      </c>
      <c r="AT2" s="2" t="s">
        <v>42</v>
      </c>
      <c r="AU2" s="2" t="s">
        <v>43</v>
      </c>
      <c r="AV2" s="2" t="s">
        <v>44</v>
      </c>
      <c r="AW2" s="7" t="s">
        <v>45</v>
      </c>
      <c r="AX2" s="8" t="s">
        <v>46</v>
      </c>
      <c r="AY2" s="9" t="s">
        <v>47</v>
      </c>
      <c r="AZ2" s="9" t="s">
        <v>48</v>
      </c>
      <c r="BA2" s="9" t="s">
        <v>49</v>
      </c>
      <c r="BB2" s="9" t="s">
        <v>50</v>
      </c>
    </row>
    <row r="3" spans="1:54" x14ac:dyDescent="0.3">
      <c r="A3" t="s">
        <v>142</v>
      </c>
      <c r="B3" s="10">
        <v>2023</v>
      </c>
      <c r="C3" s="11">
        <v>7</v>
      </c>
      <c r="D3" s="11">
        <v>27</v>
      </c>
      <c r="E3" s="12">
        <v>45110</v>
      </c>
      <c r="F3" s="10">
        <v>600104</v>
      </c>
      <c r="G3" s="10">
        <v>60010437470281</v>
      </c>
      <c r="H3" s="11" t="s">
        <v>51</v>
      </c>
      <c r="I3" s="10" t="s">
        <v>52</v>
      </c>
      <c r="J3" s="10" t="s">
        <v>53</v>
      </c>
      <c r="K3" s="10" t="s">
        <v>54</v>
      </c>
      <c r="L3" s="10" t="s">
        <v>55</v>
      </c>
      <c r="M3" s="11">
        <v>0</v>
      </c>
      <c r="N3" s="11">
        <v>38</v>
      </c>
      <c r="O3" s="11"/>
      <c r="P3" s="11" t="s">
        <v>56</v>
      </c>
      <c r="Q3" s="11">
        <v>59</v>
      </c>
      <c r="R3" s="11" t="s">
        <v>57</v>
      </c>
      <c r="S3" s="13">
        <v>765620</v>
      </c>
      <c r="T3" s="13" t="s">
        <v>58</v>
      </c>
      <c r="U3" s="11" t="s">
        <v>59</v>
      </c>
      <c r="V3" s="11" t="s">
        <v>60</v>
      </c>
      <c r="W3" s="14" t="s">
        <v>61</v>
      </c>
      <c r="X3" s="11" t="s">
        <v>60</v>
      </c>
      <c r="Y3" s="14" t="s">
        <v>61</v>
      </c>
      <c r="Z3" s="14" t="s">
        <v>62</v>
      </c>
      <c r="AA3" s="14" t="s">
        <v>63</v>
      </c>
      <c r="AB3" s="15" t="s">
        <v>64</v>
      </c>
      <c r="AC3" s="11" t="s">
        <v>65</v>
      </c>
      <c r="AD3" s="15" t="s">
        <v>66</v>
      </c>
      <c r="AE3" s="11">
        <v>45</v>
      </c>
      <c r="AF3" s="11"/>
      <c r="AG3" s="11"/>
      <c r="AH3" s="11"/>
      <c r="AI3" s="11"/>
      <c r="AJ3" s="11"/>
      <c r="AK3" s="15">
        <v>566</v>
      </c>
      <c r="AL3" s="15">
        <v>250</v>
      </c>
      <c r="AM3" s="11"/>
      <c r="AN3" s="11"/>
      <c r="AO3" s="15">
        <v>50</v>
      </c>
      <c r="AP3" s="11">
        <v>0.13</v>
      </c>
      <c r="AQ3" s="11">
        <v>0.25</v>
      </c>
      <c r="AR3" s="16">
        <f>AQ3/AP3</f>
        <v>1.9230769230769229</v>
      </c>
      <c r="AS3" s="17">
        <f>(AQ3-AP3)/AQ3</f>
        <v>0.48</v>
      </c>
      <c r="AT3" s="11">
        <v>50</v>
      </c>
      <c r="AU3" s="13">
        <v>37470281</v>
      </c>
      <c r="AV3" s="11" t="s">
        <v>67</v>
      </c>
      <c r="AW3" s="18">
        <v>12.5</v>
      </c>
      <c r="AX3" s="18">
        <f>AP3*AT3</f>
        <v>6.5</v>
      </c>
      <c r="AY3" s="13">
        <v>31970825</v>
      </c>
      <c r="AZ3" s="11"/>
      <c r="BA3" s="11"/>
      <c r="BB3" s="11"/>
    </row>
    <row r="4" spans="1:54" x14ac:dyDescent="0.3">
      <c r="A4" t="s">
        <v>142</v>
      </c>
      <c r="B4" s="10">
        <v>2023</v>
      </c>
      <c r="C4" s="11">
        <v>7</v>
      </c>
      <c r="D4" s="11">
        <v>27</v>
      </c>
      <c r="E4" s="12">
        <v>45110</v>
      </c>
      <c r="F4" s="10">
        <v>600104</v>
      </c>
      <c r="G4" s="10">
        <v>60010437457811</v>
      </c>
      <c r="H4" s="11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1">
        <v>0</v>
      </c>
      <c r="N4" s="11">
        <v>38</v>
      </c>
      <c r="O4" s="11"/>
      <c r="P4" s="11" t="s">
        <v>56</v>
      </c>
      <c r="Q4" s="11">
        <v>574</v>
      </c>
      <c r="R4" s="11" t="s">
        <v>68</v>
      </c>
      <c r="S4" s="13">
        <v>309367</v>
      </c>
      <c r="T4" s="13" t="s">
        <v>69</v>
      </c>
      <c r="U4" s="11" t="s">
        <v>70</v>
      </c>
      <c r="V4" s="11" t="s">
        <v>71</v>
      </c>
      <c r="W4" s="14" t="s">
        <v>72</v>
      </c>
      <c r="X4" s="11" t="s">
        <v>73</v>
      </c>
      <c r="Y4" s="14" t="s">
        <v>74</v>
      </c>
      <c r="Z4" s="14" t="s">
        <v>62</v>
      </c>
      <c r="AA4" s="14" t="s">
        <v>75</v>
      </c>
      <c r="AB4" s="15" t="s">
        <v>64</v>
      </c>
      <c r="AC4" s="11" t="s">
        <v>76</v>
      </c>
      <c r="AD4" s="15" t="s">
        <v>77</v>
      </c>
      <c r="AE4" s="11">
        <v>70</v>
      </c>
      <c r="AF4" s="11"/>
      <c r="AG4" s="11"/>
      <c r="AH4" s="11"/>
      <c r="AI4" s="11"/>
      <c r="AJ4" s="11"/>
      <c r="AK4" s="15">
        <v>577</v>
      </c>
      <c r="AL4" s="15">
        <v>100</v>
      </c>
      <c r="AM4" s="11"/>
      <c r="AN4" s="11"/>
      <c r="AO4" s="15">
        <v>10</v>
      </c>
      <c r="AP4" s="11">
        <v>0.16</v>
      </c>
      <c r="AQ4" s="11">
        <v>0.31</v>
      </c>
      <c r="AR4" s="16">
        <f t="shared" ref="AR4:AR13" si="0">AQ4/AP4</f>
        <v>1.9375</v>
      </c>
      <c r="AS4" s="17">
        <f t="shared" ref="AS4:AS13" si="1">(AQ4-AP4)/AQ4</f>
        <v>0.48387096774193544</v>
      </c>
      <c r="AT4" s="11">
        <v>10</v>
      </c>
      <c r="AU4" s="13">
        <v>37457811</v>
      </c>
      <c r="AV4" s="11" t="s">
        <v>67</v>
      </c>
      <c r="AW4" s="18">
        <v>3.1</v>
      </c>
      <c r="AX4" s="18">
        <f t="shared" ref="AX4:AX13" si="2">AP4*AT4</f>
        <v>1.6</v>
      </c>
      <c r="AY4" s="13">
        <v>31971791</v>
      </c>
      <c r="AZ4" s="11"/>
      <c r="BA4" s="11"/>
      <c r="BB4" s="11"/>
    </row>
    <row r="5" spans="1:54" x14ac:dyDescent="0.3">
      <c r="A5" t="s">
        <v>142</v>
      </c>
      <c r="B5" s="10">
        <v>2023</v>
      </c>
      <c r="C5" s="11">
        <v>7</v>
      </c>
      <c r="D5" s="11">
        <v>27</v>
      </c>
      <c r="E5" s="12">
        <v>45110</v>
      </c>
      <c r="F5" s="10">
        <v>600104</v>
      </c>
      <c r="G5" s="10">
        <v>60010437417507</v>
      </c>
      <c r="H5" s="11" t="s">
        <v>51</v>
      </c>
      <c r="I5" s="10" t="s">
        <v>52</v>
      </c>
      <c r="J5" s="10" t="s">
        <v>53</v>
      </c>
      <c r="K5" s="10" t="s">
        <v>54</v>
      </c>
      <c r="L5" s="10" t="s">
        <v>55</v>
      </c>
      <c r="M5" s="11">
        <v>0</v>
      </c>
      <c r="N5" s="11">
        <v>38</v>
      </c>
      <c r="O5" s="11"/>
      <c r="P5" s="11" t="s">
        <v>56</v>
      </c>
      <c r="Q5" s="13">
        <v>5710</v>
      </c>
      <c r="R5" s="11" t="s">
        <v>78</v>
      </c>
      <c r="S5" s="13">
        <v>136234</v>
      </c>
      <c r="T5" s="13" t="s">
        <v>79</v>
      </c>
      <c r="U5" s="11" t="s">
        <v>80</v>
      </c>
      <c r="V5" s="11" t="s">
        <v>81</v>
      </c>
      <c r="W5" s="14" t="s">
        <v>82</v>
      </c>
      <c r="X5" s="11" t="s">
        <v>83</v>
      </c>
      <c r="Y5" s="14" t="s">
        <v>84</v>
      </c>
      <c r="Z5" s="14" t="s">
        <v>62</v>
      </c>
      <c r="AA5" s="14" t="s">
        <v>75</v>
      </c>
      <c r="AB5" s="15" t="s">
        <v>64</v>
      </c>
      <c r="AC5" s="11" t="s">
        <v>85</v>
      </c>
      <c r="AD5" s="15" t="s">
        <v>66</v>
      </c>
      <c r="AE5" s="11">
        <v>50</v>
      </c>
      <c r="AF5" s="11"/>
      <c r="AG5" s="11"/>
      <c r="AH5" s="11"/>
      <c r="AI5" s="11"/>
      <c r="AJ5" s="11"/>
      <c r="AK5" s="15">
        <v>566</v>
      </c>
      <c r="AL5" s="15">
        <v>80</v>
      </c>
      <c r="AM5" s="11"/>
      <c r="AN5" s="11"/>
      <c r="AO5" s="15">
        <v>10</v>
      </c>
      <c r="AP5" s="11">
        <v>0.17</v>
      </c>
      <c r="AQ5" s="11">
        <v>0.18</v>
      </c>
      <c r="AR5" s="16">
        <f t="shared" si="0"/>
        <v>1.0588235294117645</v>
      </c>
      <c r="AS5" s="17">
        <f t="shared" si="1"/>
        <v>5.5555555555555455E-2</v>
      </c>
      <c r="AT5" s="11">
        <v>10</v>
      </c>
      <c r="AU5" s="13">
        <v>37417507</v>
      </c>
      <c r="AV5" s="11" t="s">
        <v>67</v>
      </c>
      <c r="AW5" s="18">
        <v>1.8</v>
      </c>
      <c r="AX5" s="18">
        <f t="shared" si="2"/>
        <v>1.7000000000000002</v>
      </c>
      <c r="AY5" s="13">
        <v>31971782</v>
      </c>
      <c r="AZ5" s="11"/>
      <c r="BA5" s="11"/>
      <c r="BB5" s="11"/>
    </row>
    <row r="6" spans="1:54" x14ac:dyDescent="0.3">
      <c r="A6" t="s">
        <v>142</v>
      </c>
      <c r="B6" s="10">
        <v>2023</v>
      </c>
      <c r="C6" s="11">
        <v>7</v>
      </c>
      <c r="D6" s="11">
        <v>27</v>
      </c>
      <c r="E6" s="12">
        <v>45110</v>
      </c>
      <c r="F6" s="10">
        <v>600104</v>
      </c>
      <c r="G6" s="10">
        <v>60010437457955</v>
      </c>
      <c r="H6" s="11" t="s">
        <v>51</v>
      </c>
      <c r="I6" s="10" t="s">
        <v>52</v>
      </c>
      <c r="J6" s="10" t="s">
        <v>53</v>
      </c>
      <c r="K6" s="10" t="s">
        <v>54</v>
      </c>
      <c r="L6" s="10" t="s">
        <v>55</v>
      </c>
      <c r="M6" s="11">
        <v>0</v>
      </c>
      <c r="N6" s="11">
        <v>38</v>
      </c>
      <c r="O6" s="11"/>
      <c r="P6" s="11" t="s">
        <v>56</v>
      </c>
      <c r="Q6" s="13">
        <v>1205</v>
      </c>
      <c r="R6" s="11" t="s">
        <v>86</v>
      </c>
      <c r="S6" s="13">
        <v>965279</v>
      </c>
      <c r="T6" s="13" t="s">
        <v>87</v>
      </c>
      <c r="U6" s="11" t="s">
        <v>88</v>
      </c>
      <c r="V6" s="11" t="s">
        <v>81</v>
      </c>
      <c r="W6" s="14" t="s">
        <v>82</v>
      </c>
      <c r="X6" s="11" t="s">
        <v>89</v>
      </c>
      <c r="Y6" s="14" t="s">
        <v>90</v>
      </c>
      <c r="Z6" s="14" t="s">
        <v>62</v>
      </c>
      <c r="AA6" s="14" t="s">
        <v>75</v>
      </c>
      <c r="AB6" s="15" t="s">
        <v>91</v>
      </c>
      <c r="AC6" s="11" t="s">
        <v>92</v>
      </c>
      <c r="AD6" s="15" t="s">
        <v>93</v>
      </c>
      <c r="AE6" s="11">
        <v>40</v>
      </c>
      <c r="AF6" s="11"/>
      <c r="AG6" s="11"/>
      <c r="AH6" s="11"/>
      <c r="AI6" s="11"/>
      <c r="AJ6" s="11"/>
      <c r="AK6" s="15">
        <v>566</v>
      </c>
      <c r="AL6" s="15">
        <v>50</v>
      </c>
      <c r="AM6" s="11"/>
      <c r="AN6" s="11"/>
      <c r="AO6" s="15">
        <v>10</v>
      </c>
      <c r="AP6" s="11">
        <v>0.18</v>
      </c>
      <c r="AQ6" s="11">
        <v>0.34</v>
      </c>
      <c r="AR6" s="16">
        <f t="shared" si="0"/>
        <v>1.8888888888888891</v>
      </c>
      <c r="AS6" s="17">
        <f t="shared" si="1"/>
        <v>0.4705882352941177</v>
      </c>
      <c r="AT6" s="11">
        <v>20</v>
      </c>
      <c r="AU6" s="13">
        <v>37457955</v>
      </c>
      <c r="AV6" s="11" t="s">
        <v>67</v>
      </c>
      <c r="AW6" s="18">
        <v>6.8</v>
      </c>
      <c r="AX6" s="18">
        <f t="shared" si="2"/>
        <v>3.5999999999999996</v>
      </c>
      <c r="AY6" s="13">
        <v>31967052</v>
      </c>
      <c r="AZ6" s="11"/>
      <c r="BA6" s="11"/>
      <c r="BB6" s="11"/>
    </row>
    <row r="7" spans="1:54" x14ac:dyDescent="0.3">
      <c r="A7" t="s">
        <v>142</v>
      </c>
      <c r="B7" s="10">
        <v>2023</v>
      </c>
      <c r="C7" s="11">
        <v>7</v>
      </c>
      <c r="D7" s="11">
        <v>27</v>
      </c>
      <c r="E7" s="12">
        <v>45110</v>
      </c>
      <c r="F7" s="10">
        <v>600104</v>
      </c>
      <c r="G7" s="10">
        <v>60010437428940</v>
      </c>
      <c r="H7" s="11" t="s">
        <v>51</v>
      </c>
      <c r="I7" s="10" t="s">
        <v>52</v>
      </c>
      <c r="J7" s="10" t="s">
        <v>53</v>
      </c>
      <c r="K7" s="10" t="s">
        <v>54</v>
      </c>
      <c r="L7" s="10" t="s">
        <v>55</v>
      </c>
      <c r="M7" s="11">
        <v>0</v>
      </c>
      <c r="N7" s="11">
        <v>38</v>
      </c>
      <c r="O7" s="11"/>
      <c r="P7" s="11" t="s">
        <v>56</v>
      </c>
      <c r="Q7" s="11">
        <v>469</v>
      </c>
      <c r="R7" s="11" t="s">
        <v>94</v>
      </c>
      <c r="S7" s="13">
        <v>268199</v>
      </c>
      <c r="T7" s="13" t="s">
        <v>95</v>
      </c>
      <c r="U7" s="11" t="s">
        <v>96</v>
      </c>
      <c r="V7" s="11" t="s">
        <v>71</v>
      </c>
      <c r="W7" s="14" t="s">
        <v>72</v>
      </c>
      <c r="X7" s="11" t="s">
        <v>97</v>
      </c>
      <c r="Y7" s="14" t="s">
        <v>98</v>
      </c>
      <c r="Z7" s="14" t="s">
        <v>62</v>
      </c>
      <c r="AA7" s="14" t="s">
        <v>75</v>
      </c>
      <c r="AB7" s="15" t="s">
        <v>91</v>
      </c>
      <c r="AC7" s="11" t="s">
        <v>99</v>
      </c>
      <c r="AD7" s="15" t="s">
        <v>100</v>
      </c>
      <c r="AE7" s="11">
        <v>60</v>
      </c>
      <c r="AF7" s="11"/>
      <c r="AG7" s="11"/>
      <c r="AH7" s="11"/>
      <c r="AI7" s="11"/>
      <c r="AJ7" s="11"/>
      <c r="AK7" s="15">
        <v>588</v>
      </c>
      <c r="AL7" s="15">
        <v>150</v>
      </c>
      <c r="AM7" s="11"/>
      <c r="AN7" s="11"/>
      <c r="AO7" s="15">
        <v>25</v>
      </c>
      <c r="AP7" s="11">
        <v>0.2</v>
      </c>
      <c r="AQ7" s="11">
        <v>0.37</v>
      </c>
      <c r="AR7" s="16">
        <f t="shared" si="0"/>
        <v>1.8499999999999999</v>
      </c>
      <c r="AS7" s="17">
        <f t="shared" si="1"/>
        <v>0.45945945945945943</v>
      </c>
      <c r="AT7" s="11">
        <v>25</v>
      </c>
      <c r="AU7" s="13">
        <v>37428940</v>
      </c>
      <c r="AV7" s="11" t="s">
        <v>67</v>
      </c>
      <c r="AW7" s="18">
        <v>9.25</v>
      </c>
      <c r="AX7" s="18">
        <f t="shared" si="2"/>
        <v>5</v>
      </c>
      <c r="AY7" s="13">
        <v>31971801</v>
      </c>
      <c r="AZ7" s="11"/>
      <c r="BA7" s="11"/>
      <c r="BB7" s="11"/>
    </row>
    <row r="8" spans="1:54" x14ac:dyDescent="0.3">
      <c r="A8" t="s">
        <v>142</v>
      </c>
      <c r="B8" s="10">
        <v>2023</v>
      </c>
      <c r="C8" s="11">
        <v>7</v>
      </c>
      <c r="D8" s="11">
        <v>27</v>
      </c>
      <c r="E8" s="12">
        <v>45110</v>
      </c>
      <c r="F8" s="10">
        <v>600104</v>
      </c>
      <c r="G8" s="10">
        <v>60010437481366</v>
      </c>
      <c r="H8" s="11" t="s">
        <v>51</v>
      </c>
      <c r="I8" s="10" t="s">
        <v>52</v>
      </c>
      <c r="J8" s="10" t="s">
        <v>53</v>
      </c>
      <c r="K8" s="10" t="s">
        <v>54</v>
      </c>
      <c r="L8" s="10" t="s">
        <v>55</v>
      </c>
      <c r="M8" s="11">
        <v>0</v>
      </c>
      <c r="N8" s="11">
        <v>0</v>
      </c>
      <c r="O8" s="11"/>
      <c r="P8" s="11" t="s">
        <v>56</v>
      </c>
      <c r="Q8" s="13">
        <v>2751</v>
      </c>
      <c r="R8" s="11" t="s">
        <v>101</v>
      </c>
      <c r="S8" s="13">
        <v>2186828</v>
      </c>
      <c r="T8" s="13" t="s">
        <v>102</v>
      </c>
      <c r="U8" s="11" t="s">
        <v>103</v>
      </c>
      <c r="V8" s="11" t="s">
        <v>104</v>
      </c>
      <c r="W8" s="14" t="s">
        <v>105</v>
      </c>
      <c r="X8" s="11" t="s">
        <v>71</v>
      </c>
      <c r="Y8" s="14" t="s">
        <v>72</v>
      </c>
      <c r="Z8" s="14" t="s">
        <v>62</v>
      </c>
      <c r="AA8" s="14" t="s">
        <v>63</v>
      </c>
      <c r="AB8" s="15" t="s">
        <v>64</v>
      </c>
      <c r="AC8" s="11" t="s">
        <v>106</v>
      </c>
      <c r="AD8" s="15" t="s">
        <v>93</v>
      </c>
      <c r="AE8" s="11">
        <v>50</v>
      </c>
      <c r="AF8" s="11"/>
      <c r="AG8" s="11"/>
      <c r="AH8" s="11"/>
      <c r="AI8" s="11"/>
      <c r="AJ8" s="11"/>
      <c r="AK8" s="15">
        <v>352</v>
      </c>
      <c r="AL8" s="15">
        <v>160</v>
      </c>
      <c r="AM8" s="11"/>
      <c r="AN8" s="11"/>
      <c r="AO8" s="15">
        <v>160</v>
      </c>
      <c r="AP8" s="11">
        <v>0.21</v>
      </c>
      <c r="AQ8" s="11">
        <v>0.22</v>
      </c>
      <c r="AR8" s="16">
        <f t="shared" si="0"/>
        <v>1.0476190476190477</v>
      </c>
      <c r="AS8" s="17">
        <f t="shared" si="1"/>
        <v>4.5454545454545497E-2</v>
      </c>
      <c r="AT8" s="11">
        <v>160</v>
      </c>
      <c r="AU8" s="13">
        <v>37481366</v>
      </c>
      <c r="AV8" s="11" t="s">
        <v>67</v>
      </c>
      <c r="AW8" s="18">
        <v>35.200000000000003</v>
      </c>
      <c r="AX8" s="18">
        <f t="shared" si="2"/>
        <v>33.6</v>
      </c>
      <c r="AY8" s="13">
        <v>31872932</v>
      </c>
      <c r="AZ8" s="11"/>
      <c r="BA8" s="11"/>
      <c r="BB8" s="11"/>
    </row>
    <row r="9" spans="1:54" x14ac:dyDescent="0.3">
      <c r="A9" t="s">
        <v>142</v>
      </c>
      <c r="B9" s="10">
        <v>2023</v>
      </c>
      <c r="C9" s="11">
        <v>7</v>
      </c>
      <c r="D9" s="11">
        <v>27</v>
      </c>
      <c r="E9" s="12">
        <v>45110</v>
      </c>
      <c r="F9" s="10">
        <v>600104</v>
      </c>
      <c r="G9" s="10">
        <v>60010437468051</v>
      </c>
      <c r="H9" s="11" t="s">
        <v>51</v>
      </c>
      <c r="I9" s="10" t="s">
        <v>52</v>
      </c>
      <c r="J9" s="10" t="s">
        <v>53</v>
      </c>
      <c r="K9" s="10" t="s">
        <v>54</v>
      </c>
      <c r="L9" s="10" t="s">
        <v>55</v>
      </c>
      <c r="M9" s="11">
        <v>0</v>
      </c>
      <c r="N9" s="11">
        <v>38</v>
      </c>
      <c r="O9" s="11"/>
      <c r="P9" s="11" t="s">
        <v>56</v>
      </c>
      <c r="Q9" s="11">
        <v>29</v>
      </c>
      <c r="R9" s="11" t="s">
        <v>107</v>
      </c>
      <c r="S9" s="13">
        <v>825902</v>
      </c>
      <c r="T9" s="13" t="s">
        <v>108</v>
      </c>
      <c r="U9" s="11" t="s">
        <v>109</v>
      </c>
      <c r="V9" s="11" t="s">
        <v>110</v>
      </c>
      <c r="W9" s="14" t="s">
        <v>111</v>
      </c>
      <c r="X9" s="11" t="s">
        <v>110</v>
      </c>
      <c r="Y9" s="14" t="s">
        <v>111</v>
      </c>
      <c r="Z9" s="14" t="s">
        <v>62</v>
      </c>
      <c r="AA9" s="14" t="s">
        <v>63</v>
      </c>
      <c r="AB9" s="15" t="s">
        <v>64</v>
      </c>
      <c r="AC9" s="11" t="s">
        <v>112</v>
      </c>
      <c r="AD9" s="15" t="s">
        <v>93</v>
      </c>
      <c r="AE9" s="11">
        <v>60</v>
      </c>
      <c r="AF9" s="11"/>
      <c r="AG9" s="11"/>
      <c r="AH9" s="11"/>
      <c r="AI9" s="11"/>
      <c r="AJ9" s="11"/>
      <c r="AK9" s="15">
        <v>996</v>
      </c>
      <c r="AL9" s="15">
        <v>60</v>
      </c>
      <c r="AM9" s="11"/>
      <c r="AN9" s="11"/>
      <c r="AO9" s="15">
        <v>60</v>
      </c>
      <c r="AP9" s="11">
        <v>0.21</v>
      </c>
      <c r="AQ9" s="11">
        <v>0.32</v>
      </c>
      <c r="AR9" s="16">
        <f t="shared" si="0"/>
        <v>1.5238095238095239</v>
      </c>
      <c r="AS9" s="17">
        <f t="shared" si="1"/>
        <v>0.34375000000000006</v>
      </c>
      <c r="AT9" s="11">
        <v>60</v>
      </c>
      <c r="AU9" s="13">
        <v>37468051</v>
      </c>
      <c r="AV9" s="11" t="s">
        <v>67</v>
      </c>
      <c r="AW9" s="18">
        <v>19.2</v>
      </c>
      <c r="AX9" s="18">
        <f t="shared" si="2"/>
        <v>12.6</v>
      </c>
      <c r="AY9" s="13">
        <v>31967064</v>
      </c>
      <c r="AZ9" s="11"/>
      <c r="BA9" s="11"/>
      <c r="BB9" s="11"/>
    </row>
    <row r="10" spans="1:54" x14ac:dyDescent="0.3">
      <c r="A10" t="s">
        <v>142</v>
      </c>
      <c r="B10" s="10">
        <v>2023</v>
      </c>
      <c r="C10" s="11">
        <v>7</v>
      </c>
      <c r="D10" s="11">
        <v>27</v>
      </c>
      <c r="E10" s="12">
        <v>45110</v>
      </c>
      <c r="F10" s="10">
        <v>600104</v>
      </c>
      <c r="G10" s="10">
        <v>60010437470198</v>
      </c>
      <c r="H10" s="11" t="s">
        <v>51</v>
      </c>
      <c r="I10" s="10" t="s">
        <v>52</v>
      </c>
      <c r="J10" s="10" t="s">
        <v>53</v>
      </c>
      <c r="K10" s="10" t="s">
        <v>54</v>
      </c>
      <c r="L10" s="10" t="s">
        <v>55</v>
      </c>
      <c r="M10" s="11">
        <v>0</v>
      </c>
      <c r="N10" s="11">
        <v>38</v>
      </c>
      <c r="O10" s="11"/>
      <c r="P10" s="11" t="s">
        <v>56</v>
      </c>
      <c r="Q10" s="13">
        <v>2751</v>
      </c>
      <c r="R10" s="11" t="s">
        <v>101</v>
      </c>
      <c r="S10" s="13">
        <v>261987</v>
      </c>
      <c r="T10" s="13" t="s">
        <v>113</v>
      </c>
      <c r="U10" s="11" t="s">
        <v>114</v>
      </c>
      <c r="V10" s="11" t="s">
        <v>115</v>
      </c>
      <c r="W10" s="14" t="s">
        <v>116</v>
      </c>
      <c r="X10" s="11" t="s">
        <v>117</v>
      </c>
      <c r="Y10" s="14" t="s">
        <v>118</v>
      </c>
      <c r="Z10" s="14" t="s">
        <v>62</v>
      </c>
      <c r="AA10" s="14" t="s">
        <v>63</v>
      </c>
      <c r="AB10" s="15" t="s">
        <v>64</v>
      </c>
      <c r="AC10" s="11" t="s">
        <v>119</v>
      </c>
      <c r="AD10" s="15" t="s">
        <v>120</v>
      </c>
      <c r="AE10" s="11">
        <v>50</v>
      </c>
      <c r="AF10" s="11"/>
      <c r="AG10" s="11"/>
      <c r="AH10" s="11"/>
      <c r="AI10" s="11"/>
      <c r="AJ10" s="11"/>
      <c r="AK10" s="15">
        <v>996</v>
      </c>
      <c r="AL10" s="15">
        <v>80</v>
      </c>
      <c r="AM10" s="11"/>
      <c r="AN10" s="11"/>
      <c r="AO10" s="15">
        <v>20</v>
      </c>
      <c r="AP10" s="11">
        <v>0.23</v>
      </c>
      <c r="AQ10" s="11">
        <v>0.27</v>
      </c>
      <c r="AR10" s="16">
        <f t="shared" si="0"/>
        <v>1.173913043478261</v>
      </c>
      <c r="AS10" s="17">
        <f t="shared" si="1"/>
        <v>0.14814814814814817</v>
      </c>
      <c r="AT10" s="11">
        <v>40</v>
      </c>
      <c r="AU10" s="13">
        <v>37470198</v>
      </c>
      <c r="AV10" s="11" t="s">
        <v>67</v>
      </c>
      <c r="AW10" s="18">
        <v>10.8</v>
      </c>
      <c r="AX10" s="18">
        <f t="shared" si="2"/>
        <v>9.2000000000000011</v>
      </c>
      <c r="AY10" s="13">
        <v>31970601</v>
      </c>
      <c r="AZ10" s="11"/>
      <c r="BA10" s="11"/>
      <c r="BB10" s="11"/>
    </row>
    <row r="11" spans="1:54" x14ac:dyDescent="0.3">
      <c r="A11" t="s">
        <v>142</v>
      </c>
      <c r="B11" s="10">
        <v>2023</v>
      </c>
      <c r="C11" s="11">
        <v>7</v>
      </c>
      <c r="D11" s="11">
        <v>27</v>
      </c>
      <c r="E11" s="12">
        <v>45110</v>
      </c>
      <c r="F11" s="10">
        <v>600104</v>
      </c>
      <c r="G11" s="10">
        <v>60010437480468</v>
      </c>
      <c r="H11" s="11" t="s">
        <v>51</v>
      </c>
      <c r="I11" s="10" t="s">
        <v>52</v>
      </c>
      <c r="J11" s="10" t="s">
        <v>53</v>
      </c>
      <c r="K11" s="10" t="s">
        <v>54</v>
      </c>
      <c r="L11" s="10" t="s">
        <v>55</v>
      </c>
      <c r="M11" s="11">
        <v>0</v>
      </c>
      <c r="N11" s="11">
        <v>38</v>
      </c>
      <c r="O11" s="11"/>
      <c r="P11" s="11" t="s">
        <v>56</v>
      </c>
      <c r="Q11" s="11">
        <v>899</v>
      </c>
      <c r="R11" s="11" t="s">
        <v>121</v>
      </c>
      <c r="S11" s="13">
        <v>1979498</v>
      </c>
      <c r="T11" s="13" t="s">
        <v>122</v>
      </c>
      <c r="U11" s="11" t="s">
        <v>123</v>
      </c>
      <c r="V11" s="11" t="s">
        <v>71</v>
      </c>
      <c r="W11" s="14" t="s">
        <v>72</v>
      </c>
      <c r="X11" s="11" t="s">
        <v>124</v>
      </c>
      <c r="Y11" s="14" t="s">
        <v>125</v>
      </c>
      <c r="Z11" s="14" t="s">
        <v>62</v>
      </c>
      <c r="AA11" s="14" t="s">
        <v>75</v>
      </c>
      <c r="AB11" s="15" t="s">
        <v>91</v>
      </c>
      <c r="AC11" s="11" t="s">
        <v>126</v>
      </c>
      <c r="AD11" s="15" t="s">
        <v>127</v>
      </c>
      <c r="AE11" s="11">
        <v>70</v>
      </c>
      <c r="AF11" s="11"/>
      <c r="AG11" s="11"/>
      <c r="AH11" s="11"/>
      <c r="AI11" s="11"/>
      <c r="AJ11" s="11"/>
      <c r="AK11" s="15">
        <v>998</v>
      </c>
      <c r="AL11" s="15">
        <v>100</v>
      </c>
      <c r="AM11" s="11"/>
      <c r="AN11" s="11"/>
      <c r="AO11" s="15">
        <v>25</v>
      </c>
      <c r="AP11" s="11">
        <v>0.24</v>
      </c>
      <c r="AQ11" s="11">
        <v>0.27</v>
      </c>
      <c r="AR11" s="16">
        <f t="shared" si="0"/>
        <v>1.1250000000000002</v>
      </c>
      <c r="AS11" s="17">
        <f t="shared" si="1"/>
        <v>0.1111111111111112</v>
      </c>
      <c r="AT11" s="11">
        <v>25</v>
      </c>
      <c r="AU11" s="13">
        <v>37480468</v>
      </c>
      <c r="AV11" s="11" t="s">
        <v>67</v>
      </c>
      <c r="AW11" s="18">
        <v>6.75</v>
      </c>
      <c r="AX11" s="18">
        <f t="shared" si="2"/>
        <v>6</v>
      </c>
      <c r="AY11" s="13">
        <v>31970770</v>
      </c>
      <c r="AZ11" s="11"/>
      <c r="BA11" s="11"/>
      <c r="BB11" s="11"/>
    </row>
    <row r="12" spans="1:54" x14ac:dyDescent="0.3">
      <c r="A12" t="s">
        <v>142</v>
      </c>
      <c r="B12" s="10">
        <v>2023</v>
      </c>
      <c r="C12" s="11">
        <v>7</v>
      </c>
      <c r="D12" s="11">
        <v>27</v>
      </c>
      <c r="E12" s="12">
        <v>45110</v>
      </c>
      <c r="F12" s="10">
        <v>600104</v>
      </c>
      <c r="G12" s="10">
        <v>60010437455952</v>
      </c>
      <c r="H12" s="11" t="s">
        <v>51</v>
      </c>
      <c r="I12" s="10" t="s">
        <v>52</v>
      </c>
      <c r="J12" s="10" t="s">
        <v>53</v>
      </c>
      <c r="K12" s="10" t="s">
        <v>54</v>
      </c>
      <c r="L12" s="10" t="s">
        <v>55</v>
      </c>
      <c r="M12" s="11">
        <v>0</v>
      </c>
      <c r="N12" s="11">
        <v>38</v>
      </c>
      <c r="O12" s="11"/>
      <c r="P12" s="11" t="s">
        <v>56</v>
      </c>
      <c r="Q12" s="11">
        <v>389</v>
      </c>
      <c r="R12" s="11" t="s">
        <v>128</v>
      </c>
      <c r="S12" s="13">
        <v>268932</v>
      </c>
      <c r="T12" s="13" t="s">
        <v>129</v>
      </c>
      <c r="U12" s="11" t="s">
        <v>130</v>
      </c>
      <c r="V12" s="11" t="s">
        <v>131</v>
      </c>
      <c r="W12" s="14" t="s">
        <v>132</v>
      </c>
      <c r="X12" s="11" t="s">
        <v>133</v>
      </c>
      <c r="Y12" s="14" t="s">
        <v>134</v>
      </c>
      <c r="Z12" s="14" t="s">
        <v>62</v>
      </c>
      <c r="AA12" s="14" t="s">
        <v>75</v>
      </c>
      <c r="AB12" s="15" t="s">
        <v>91</v>
      </c>
      <c r="AC12" s="11" t="s">
        <v>135</v>
      </c>
      <c r="AD12" s="15" t="s">
        <v>77</v>
      </c>
      <c r="AE12" s="11">
        <v>70</v>
      </c>
      <c r="AF12" s="11"/>
      <c r="AG12" s="11"/>
      <c r="AH12" s="11"/>
      <c r="AI12" s="11"/>
      <c r="AJ12" s="11"/>
      <c r="AK12" s="15">
        <v>997</v>
      </c>
      <c r="AL12" s="15">
        <v>80</v>
      </c>
      <c r="AM12" s="11"/>
      <c r="AN12" s="11"/>
      <c r="AO12" s="15">
        <v>20</v>
      </c>
      <c r="AP12" s="11">
        <v>0.24</v>
      </c>
      <c r="AQ12" s="11">
        <v>0.44</v>
      </c>
      <c r="AR12" s="16">
        <f t="shared" si="0"/>
        <v>1.8333333333333335</v>
      </c>
      <c r="AS12" s="17">
        <f t="shared" si="1"/>
        <v>0.45454545454545459</v>
      </c>
      <c r="AT12" s="11">
        <v>20</v>
      </c>
      <c r="AU12" s="13">
        <v>37455952</v>
      </c>
      <c r="AV12" s="11" t="s">
        <v>67</v>
      </c>
      <c r="AW12" s="18">
        <v>8.8000000000000007</v>
      </c>
      <c r="AX12" s="18">
        <f t="shared" si="2"/>
        <v>4.8</v>
      </c>
      <c r="AY12" s="13">
        <v>31967071</v>
      </c>
      <c r="AZ12" s="11"/>
      <c r="BA12" s="11"/>
      <c r="BB12" s="11"/>
    </row>
    <row r="13" spans="1:54" x14ac:dyDescent="0.3">
      <c r="A13" t="s">
        <v>142</v>
      </c>
      <c r="B13" s="10">
        <v>2023</v>
      </c>
      <c r="C13" s="11">
        <v>7</v>
      </c>
      <c r="D13" s="11">
        <v>27</v>
      </c>
      <c r="E13" s="12">
        <v>45110</v>
      </c>
      <c r="F13" s="10">
        <v>600104</v>
      </c>
      <c r="G13" s="10">
        <v>60010437470184</v>
      </c>
      <c r="H13" s="11" t="s">
        <v>51</v>
      </c>
      <c r="I13" s="10" t="s">
        <v>52</v>
      </c>
      <c r="J13" s="10" t="s">
        <v>53</v>
      </c>
      <c r="K13" s="10" t="s">
        <v>54</v>
      </c>
      <c r="L13" s="10" t="s">
        <v>55</v>
      </c>
      <c r="M13" s="11">
        <v>0</v>
      </c>
      <c r="N13" s="11">
        <v>38</v>
      </c>
      <c r="O13" s="11"/>
      <c r="P13" s="11" t="s">
        <v>56</v>
      </c>
      <c r="Q13" s="11">
        <v>744</v>
      </c>
      <c r="R13" s="11" t="s">
        <v>136</v>
      </c>
      <c r="S13" s="13">
        <v>1961565</v>
      </c>
      <c r="T13" s="13" t="s">
        <v>137</v>
      </c>
      <c r="U13" s="11" t="s">
        <v>138</v>
      </c>
      <c r="V13" s="11" t="s">
        <v>139</v>
      </c>
      <c r="W13" s="14" t="s">
        <v>140</v>
      </c>
      <c r="X13" s="11" t="s">
        <v>139</v>
      </c>
      <c r="Y13" s="14" t="s">
        <v>140</v>
      </c>
      <c r="Z13" s="14" t="s">
        <v>62</v>
      </c>
      <c r="AA13" s="14" t="s">
        <v>63</v>
      </c>
      <c r="AB13" s="15" t="s">
        <v>64</v>
      </c>
      <c r="AC13" s="11" t="s">
        <v>141</v>
      </c>
      <c r="AD13" s="15" t="s">
        <v>93</v>
      </c>
      <c r="AE13" s="11">
        <v>60</v>
      </c>
      <c r="AF13" s="11"/>
      <c r="AG13" s="11"/>
      <c r="AH13" s="11"/>
      <c r="AI13" s="11"/>
      <c r="AJ13" s="11"/>
      <c r="AK13" s="15">
        <v>996</v>
      </c>
      <c r="AL13" s="15">
        <v>80</v>
      </c>
      <c r="AM13" s="11"/>
      <c r="AN13" s="11"/>
      <c r="AO13" s="15">
        <v>80</v>
      </c>
      <c r="AP13" s="11">
        <v>0.25</v>
      </c>
      <c r="AQ13" s="11">
        <v>0.37</v>
      </c>
      <c r="AR13" s="16">
        <f t="shared" si="0"/>
        <v>1.48</v>
      </c>
      <c r="AS13" s="17">
        <f t="shared" si="1"/>
        <v>0.32432432432432434</v>
      </c>
      <c r="AT13" s="11">
        <v>80</v>
      </c>
      <c r="AU13" s="13">
        <v>37470184</v>
      </c>
      <c r="AV13" s="11" t="s">
        <v>67</v>
      </c>
      <c r="AW13" s="18">
        <v>29.6</v>
      </c>
      <c r="AX13" s="18">
        <f t="shared" si="2"/>
        <v>20</v>
      </c>
      <c r="AY13" s="13">
        <v>31970727</v>
      </c>
      <c r="AZ13" s="11"/>
      <c r="BA13" s="11"/>
      <c r="BB13" s="11"/>
    </row>
    <row r="16" spans="1:54" ht="23.4" x14ac:dyDescent="0.45">
      <c r="A16" s="28" t="s">
        <v>143</v>
      </c>
      <c r="B16" s="28"/>
      <c r="C16" s="28"/>
      <c r="D16" s="28"/>
      <c r="E16" s="28"/>
    </row>
    <row r="17" spans="1:6" x14ac:dyDescent="0.3">
      <c r="A17" s="19" t="s">
        <v>144</v>
      </c>
      <c r="B17" s="19" t="s">
        <v>151</v>
      </c>
      <c r="C17" s="19" t="s">
        <v>152</v>
      </c>
      <c r="D17" s="19" t="s">
        <v>153</v>
      </c>
      <c r="E17" s="19"/>
    </row>
    <row r="18" spans="1:6" x14ac:dyDescent="0.3">
      <c r="A18" t="s">
        <v>145</v>
      </c>
      <c r="B18">
        <v>53</v>
      </c>
      <c r="C18" s="24">
        <v>444875</v>
      </c>
      <c r="D18" s="21">
        <v>0.49626638062404016</v>
      </c>
      <c r="F18">
        <f t="shared" ref="F18:F23" si="3">$B$18*C18</f>
        <v>23578375</v>
      </c>
    </row>
    <row r="19" spans="1:6" x14ac:dyDescent="0.3">
      <c r="A19" t="s">
        <v>146</v>
      </c>
      <c r="B19" s="20"/>
      <c r="C19" s="27">
        <v>209450.97117236408</v>
      </c>
      <c r="D19" s="21">
        <v>0.23364647458701723</v>
      </c>
      <c r="E19" s="24"/>
      <c r="F19">
        <f t="shared" si="3"/>
        <v>11100901.472135296</v>
      </c>
    </row>
    <row r="20" spans="1:6" x14ac:dyDescent="0.3">
      <c r="A20" t="s">
        <v>147</v>
      </c>
      <c r="B20" s="20"/>
      <c r="C20" s="27">
        <v>164612.16716239977</v>
      </c>
      <c r="D20" s="21">
        <v>0.18362795033293308</v>
      </c>
      <c r="E20" s="24"/>
      <c r="F20">
        <f t="shared" si="3"/>
        <v>8724444.859607188</v>
      </c>
    </row>
    <row r="21" spans="1:6" x14ac:dyDescent="0.3">
      <c r="A21" t="s">
        <v>148</v>
      </c>
      <c r="B21" s="20"/>
      <c r="C21" s="27">
        <v>43095.169023029746</v>
      </c>
      <c r="D21" s="21">
        <v>4.8073466824254507E-2</v>
      </c>
      <c r="E21" s="24"/>
      <c r="F21">
        <f t="shared" si="3"/>
        <v>2284043.9582205764</v>
      </c>
    </row>
    <row r="22" spans="1:6" x14ac:dyDescent="0.3">
      <c r="A22" t="s">
        <v>149</v>
      </c>
      <c r="B22" s="20"/>
      <c r="C22" s="27">
        <v>14923.39395635312</v>
      </c>
      <c r="D22" s="21">
        <v>1.664732499094361E-2</v>
      </c>
      <c r="E22" s="24"/>
      <c r="F22">
        <f t="shared" si="3"/>
        <v>790939.87968671543</v>
      </c>
    </row>
    <row r="23" spans="1:6" ht="15" thickBot="1" x14ac:dyDescent="0.35">
      <c r="A23" t="s">
        <v>150</v>
      </c>
      <c r="B23" s="20"/>
      <c r="C23" s="27">
        <v>11228.920469105391</v>
      </c>
      <c r="D23" s="22">
        <v>1.2526070737888466E-2</v>
      </c>
      <c r="E23" s="25"/>
      <c r="F23">
        <f t="shared" si="3"/>
        <v>595132.78486258572</v>
      </c>
    </row>
    <row r="24" spans="1:6" ht="15" thickTop="1" x14ac:dyDescent="0.3">
      <c r="C24" s="24">
        <v>888185.62178325211</v>
      </c>
      <c r="D24" s="23" t="s">
        <v>154</v>
      </c>
      <c r="E24" s="26"/>
      <c r="F24">
        <f>SUM(F18:F23)</f>
        <v>47073837.954512365</v>
      </c>
    </row>
    <row r="25" spans="1:6" x14ac:dyDescent="0.3">
      <c r="C25" s="24">
        <v>47073837.954512365</v>
      </c>
      <c r="D25" s="23" t="s">
        <v>155</v>
      </c>
      <c r="E25" s="26"/>
    </row>
    <row r="27" spans="1:6" x14ac:dyDescent="0.3">
      <c r="A27" t="s">
        <v>156</v>
      </c>
    </row>
    <row r="28" spans="1:6" x14ac:dyDescent="0.3">
      <c r="A28" t="s">
        <v>157</v>
      </c>
    </row>
  </sheetData>
  <mergeCells count="1">
    <mergeCell ref="A16:E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6EB468E12504CB50E38E64DEC42F4" ma:contentTypeVersion="10" ma:contentTypeDescription="Crée un document." ma:contentTypeScope="" ma:versionID="93c10b2525e4cbb87689e80eca7a5136">
  <xsd:schema xmlns:xsd="http://www.w3.org/2001/XMLSchema" xmlns:xs="http://www.w3.org/2001/XMLSchema" xmlns:p="http://schemas.microsoft.com/office/2006/metadata/properties" xmlns:ns2="2ed2f9e8-9e48-4efc-98ec-92019927bf3a" xmlns:ns3="e7bed1e9-e5c7-4c86-981c-b3dbe7734851" targetNamespace="http://schemas.microsoft.com/office/2006/metadata/properties" ma:root="true" ma:fieldsID="be0737ab788cee1bc0df6b21518d1ec0" ns2:_="" ns3:_="">
    <xsd:import namespace="2ed2f9e8-9e48-4efc-98ec-92019927bf3a"/>
    <xsd:import namespace="e7bed1e9-e5c7-4c86-981c-b3dbe7734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2f9e8-9e48-4efc-98ec-92019927b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d1e9-e5c7-4c86-981c-b3dbe7734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9806D-23B9-4FBA-871B-49B877B07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7B1DC5-2118-4901-B922-BDB0F35AFC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EDF9E7-C239-4CF9-9785-B0013551F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2f9e8-9e48-4efc-98ec-92019927bf3a"/>
    <ds:schemaRef ds:uri="e7bed1e9-e5c7-4c86-981c-b3dbe7734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HERRERA Juan</dc:creator>
  <cp:lastModifiedBy>Christophe DOSSA</cp:lastModifiedBy>
  <dcterms:created xsi:type="dcterms:W3CDTF">2024-09-24T13:45:09Z</dcterms:created>
  <dcterms:modified xsi:type="dcterms:W3CDTF">2025-03-06T15:07:27Z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0x010100C346EB468E12504CB50E38E64DEC42F4</vt:lpwstr>
  </property>
  <property fmtid="{D5CDD505-2E9C-101B-9397-08002B2CF9AE}" pid="3" name="Order">
    <vt:r8>24300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